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tavio.campelo\Documents\Otávio\Planilhas\"/>
    </mc:Choice>
  </mc:AlternateContent>
  <xr:revisionPtr revIDLastSave="0" documentId="13_ncr:1_{A19E2F70-C81F-407E-B6BB-3C528DB64FCE}" xr6:coauthVersionLast="47" xr6:coauthVersionMax="47" xr10:uidLastSave="{00000000-0000-0000-0000-000000000000}"/>
  <bookViews>
    <workbookView xWindow="28680" yWindow="3375" windowWidth="20730" windowHeight="11040" xr2:uid="{26A730C9-A52F-4FCA-9CA0-6578E685095E}"/>
  </bookViews>
  <sheets>
    <sheet name="Detalhes" sheetId="1" r:id="rId1"/>
    <sheet name="Simulação 27-28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2" l="1" a="1"/>
  <c r="B14" i="2" s="1"/>
  <c r="B15" i="2" s="1" a="1"/>
  <c r="B1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<sst xmlns="http://schemas.openxmlformats.org/spreadsheetml/2006/main" count="59" uniqueCount="52">
  <si>
    <t>Nome:</t>
  </si>
  <si>
    <t>CNPJ:</t>
  </si>
  <si>
    <t>CNAE principal:</t>
  </si>
  <si>
    <t>Descrição:</t>
  </si>
  <si>
    <t>Anexo:</t>
  </si>
  <si>
    <t>RBT12:</t>
  </si>
  <si>
    <t>Receita Bruta em 12 Meses (em R$)</t>
  </si>
  <si>
    <t>Alíquota</t>
  </si>
  <si>
    <t>Valor a Deduzir (em R$)</t>
  </si>
  <si>
    <t>1ª Faixa</t>
  </si>
  <si>
    <t>Até 180.000,00</t>
  </si>
  <si>
    <t>-</t>
  </si>
  <si>
    <t>2ª Faixa</t>
  </si>
  <si>
    <t>De 180.000,01 a 360.000,00</t>
  </si>
  <si>
    <t>3ª Faixa</t>
  </si>
  <si>
    <t>De 360.000,01 a 720.000,00</t>
  </si>
  <si>
    <t>4ª Faixa</t>
  </si>
  <si>
    <t>De 720.000,01 a 1.800.000,00</t>
  </si>
  <si>
    <t>5ª Faixa</t>
  </si>
  <si>
    <t>De 1.800.000,01 a 3.600.000,00</t>
  </si>
  <si>
    <t>6ª Faixa</t>
  </si>
  <si>
    <t>De 3.600.000,01 a 4.800.000,00</t>
  </si>
  <si>
    <t>Cálculo alíquota do simples:</t>
  </si>
  <si>
    <t>Cálculo CBS dentro do simples:</t>
  </si>
  <si>
    <t>LEI COMPLEMENTAR Nº 214, DE 16 DE JANEIRO DE 2025</t>
  </si>
  <si>
    <t>Faixas</t>
  </si>
  <si>
    <t>Percentual de Repartição dos Tributos</t>
  </si>
  <si>
    <t>IRPJ</t>
  </si>
  <si>
    <t>CSLL</t>
  </si>
  <si>
    <t>CBS</t>
  </si>
  <si>
    <t>CPP</t>
  </si>
  <si>
    <t>IBS</t>
  </si>
  <si>
    <t>ISS (*)</t>
  </si>
  <si>
    <t>33,5% (*)</t>
  </si>
  <si>
    <t>(*) O percentual efetivo máximo devido ao ISS será de 5%, transferindo-se a diferença, de forma proporcional, aos tributos federais da mesma faixa de receita bruta anual. Sendo assim, na 5ª faixa, quando a alíquota efetiva for superior a 14,92537%, a repartição será:</t>
  </si>
  <si>
    <t>5ª Faixa (com alíquota efetiva superior a 14,93%)</t>
  </si>
  <si>
    <t>(Alíquota efetiva - 5%) x 6,02%</t>
  </si>
  <si>
    <t>(Alíquota efetiva - 5%) x 5,26%</t>
  </si>
  <si>
    <t>(Alíquota efetiva - 5%) x 23,20%</t>
  </si>
  <si>
    <t>(Alíquota efetiva - 5%) x 65,26%</t>
  </si>
  <si>
    <t>Percentual de ISS fixo em 5%</t>
  </si>
  <si>
    <t>(Alíquota efetiva - 5%) x 0,26%</t>
  </si>
  <si>
    <t>(((RBT12 * Alíquota nominal) - valor a deduzir) / RBT12)</t>
  </si>
  <si>
    <t>Alíquota efetiva do Simples:</t>
  </si>
  <si>
    <t>Alíquota CBS dentro do Simples:</t>
  </si>
  <si>
    <t>Resolução CGIBS nº 14, publicada em 29 de julho de 2026</t>
  </si>
  <si>
    <t>Alíquota CBS híbrido:</t>
  </si>
  <si>
    <t>9,21% (*)</t>
  </si>
  <si>
    <t>(*) Valor estimado a partir da resolução da CGIBS acima apresentada</t>
  </si>
  <si>
    <t>Alíquota do simples * Percentual do CBS na tabela Repartição dos Tributos</t>
  </si>
  <si>
    <t>Cliente poderá tomar crédito dessa alíquota</t>
  </si>
  <si>
    <r>
      <t xml:space="preserve">Cliente poderá tomar crédito do valor </t>
    </r>
    <r>
      <rPr>
        <b/>
        <sz val="11"/>
        <color theme="1"/>
        <rFont val="Calibri"/>
        <family val="2"/>
        <scheme val="minor"/>
      </rPr>
      <t>estimado</t>
    </r>
    <r>
      <rPr>
        <sz val="11"/>
        <color theme="1"/>
        <rFont val="Calibri"/>
        <family val="2"/>
        <scheme val="minor"/>
      </rPr>
      <t xml:space="preserve"> de 9,21% (caso seja do regime híbrido ou do regime normal)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</si>
</sst>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R$ &quot;* #,##0.00_);_(&quot;R$ &quot;* \(#,##0.00\);_(&quot;R$ &quot;* &quot;-&quot;??_);_(@_)"/>
    <numFmt numFmtId="164" formatCode="0.000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E7038"/>
        <bgColor indexed="64"/>
      </patternFill>
    </fill>
    <fill>
      <patternFill patternType="solid">
        <fgColor rgb="FFE9F0CE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/>
      <diagonal/>
    </border>
    <border>
      <left style="double">
        <color theme="0"/>
      </left>
      <right/>
      <top style="double">
        <color theme="0"/>
      </top>
      <bottom style="double">
        <color theme="0"/>
      </bottom>
      <diagonal/>
    </border>
    <border>
      <left/>
      <right/>
      <top style="double">
        <color theme="0"/>
      </top>
      <bottom style="double">
        <color theme="0"/>
      </bottom>
      <diagonal/>
    </border>
    <border>
      <left/>
      <right style="double">
        <color theme="0"/>
      </right>
      <top style="double">
        <color theme="0"/>
      </top>
      <bottom style="double">
        <color theme="0"/>
      </bottom>
      <diagonal/>
    </border>
    <border>
      <left style="double">
        <color theme="0"/>
      </left>
      <right style="double">
        <color theme="0"/>
      </right>
      <top/>
      <bottom style="double">
        <color theme="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double">
        <color theme="0"/>
      </left>
      <right style="medium">
        <color rgb="FF000000"/>
      </right>
      <top style="double">
        <color theme="0"/>
      </top>
      <bottom style="double">
        <color theme="0"/>
      </bottom>
      <diagonal/>
    </border>
    <border>
      <left style="medium">
        <color rgb="FF00000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thin">
        <color rgb="FF000000"/>
      </left>
      <right style="medium">
        <color rgb="FF000000"/>
      </right>
      <top style="double">
        <color theme="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theme="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theme="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10" fontId="6" fillId="3" borderId="4" xfId="0" applyNumberFormat="1" applyFont="1" applyFill="1" applyBorder="1" applyAlignment="1">
      <alignment horizontal="center" vertical="center" wrapText="1"/>
    </xf>
    <xf numFmtId="4" fontId="6" fillId="3" borderId="4" xfId="0" applyNumberFormat="1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10" fontId="6" fillId="3" borderId="14" xfId="0" applyNumberFormat="1" applyFont="1" applyFill="1" applyBorder="1" applyAlignment="1">
      <alignment horizontal="center" vertical="center" wrapText="1"/>
    </xf>
    <xf numFmtId="10" fontId="6" fillId="3" borderId="15" xfId="0" applyNumberFormat="1" applyFont="1" applyFill="1" applyBorder="1" applyAlignment="1">
      <alignment horizontal="center" vertical="center" wrapText="1"/>
    </xf>
    <xf numFmtId="10" fontId="6" fillId="3" borderId="16" xfId="0" applyNumberFormat="1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10" fontId="6" fillId="3" borderId="18" xfId="0" applyNumberFormat="1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10" fontId="6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164" fontId="0" fillId="0" borderId="0" xfId="2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2" fillId="4" borderId="0" xfId="0" applyNumberFormat="1" applyFont="1" applyFill="1" applyAlignment="1">
      <alignment horizontal="center"/>
    </xf>
    <xf numFmtId="10" fontId="2" fillId="4" borderId="0" xfId="0" applyNumberFormat="1" applyFont="1" applyFill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right"/>
      <protection locked="0"/>
    </xf>
    <xf numFmtId="44" fontId="4" fillId="4" borderId="0" xfId="1" applyFont="1" applyFill="1" applyAlignment="1" applyProtection="1">
      <alignment horizontal="left"/>
      <protection locked="0"/>
    </xf>
    <xf numFmtId="0" fontId="2" fillId="0" borderId="0" xfId="0" applyFont="1" applyAlignment="1">
      <alignment horizontal="left"/>
    </xf>
    <xf numFmtId="0" fontId="0" fillId="4" borderId="0" xfId="0" applyFill="1" applyAlignment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13262-EE8D-45DB-B197-3C793F0C7F8B}">
  <dimension ref="A1:B6"/>
  <sheetViews>
    <sheetView showGridLines="0" tabSelected="1" workbookViewId="0">
      <selection activeCell="H13" sqref="H13"/>
    </sheetView>
  </sheetViews>
  <sheetFormatPr defaultRowHeight="15" x14ac:dyDescent="0.25"/>
  <cols>
    <col min="1" max="1" width="18.85546875" customWidth="1"/>
    <col min="2" max="2" width="41.7109375" bestFit="1" customWidth="1"/>
  </cols>
  <sheetData>
    <row r="1" spans="1:2" ht="15.75" x14ac:dyDescent="0.25">
      <c r="A1" s="1" t="s">
        <v>0</v>
      </c>
      <c r="B1" s="26"/>
    </row>
    <row r="2" spans="1:2" ht="15.75" x14ac:dyDescent="0.25">
      <c r="A2" s="1" t="s">
        <v>1</v>
      </c>
      <c r="B2" s="26"/>
    </row>
    <row r="3" spans="1:2" ht="15.75" x14ac:dyDescent="0.25">
      <c r="A3" s="1" t="s">
        <v>2</v>
      </c>
      <c r="B3" s="26"/>
    </row>
    <row r="4" spans="1:2" ht="15.75" x14ac:dyDescent="0.25">
      <c r="A4" s="1" t="s">
        <v>3</v>
      </c>
      <c r="B4" s="26"/>
    </row>
    <row r="5" spans="1:2" ht="15.75" x14ac:dyDescent="0.25">
      <c r="A5" s="1" t="s">
        <v>4</v>
      </c>
      <c r="B5" s="27">
        <v>3</v>
      </c>
    </row>
    <row r="6" spans="1:2" ht="15.75" x14ac:dyDescent="0.25">
      <c r="A6" s="1" t="s">
        <v>5</v>
      </c>
      <c r="B6" s="28">
        <v>0</v>
      </c>
    </row>
  </sheetData>
  <sheetProtection algorithmName="SHA-512" hashValue="oGKsYrUxFXIcbmoDVxnv3JnjdS6iEuIAw2UMaj0BUZ51DOS+SuyUFmkfot8ncdRAmDMdLQlkpHUfBP//QGXB4g==" saltValue="MdiegM4Kh2ObVxX7Vg5N3g==" spinCount="100000" sheet="1" objects="1" scenarios="1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4DE79-706F-44C3-A788-4C4E5DD77DFE}">
  <dimension ref="A1:L20"/>
  <sheetViews>
    <sheetView showGridLines="0" workbookViewId="0">
      <selection activeCell="D10" sqref="D10"/>
    </sheetView>
  </sheetViews>
  <sheetFormatPr defaultRowHeight="15" x14ac:dyDescent="0.25"/>
  <cols>
    <col min="1" max="1" width="29.7109375" customWidth="1"/>
    <col min="2" max="2" width="40.85546875" customWidth="1"/>
    <col min="3" max="3" width="9.140625" customWidth="1"/>
    <col min="4" max="4" width="25.140625" customWidth="1"/>
  </cols>
  <sheetData>
    <row r="1" spans="1:12" ht="16.5" thickTop="1" thickBot="1" x14ac:dyDescent="0.3">
      <c r="A1" s="31" t="s">
        <v>6</v>
      </c>
      <c r="B1" s="32"/>
      <c r="C1" s="24" t="s">
        <v>7</v>
      </c>
      <c r="D1" s="24" t="s">
        <v>8</v>
      </c>
      <c r="F1" s="33" t="s">
        <v>25</v>
      </c>
      <c r="G1" s="35" t="s">
        <v>26</v>
      </c>
      <c r="H1" s="36"/>
      <c r="I1" s="36"/>
      <c r="J1" s="36"/>
      <c r="K1" s="36"/>
      <c r="L1" s="37"/>
    </row>
    <row r="2" spans="1:12" ht="16.5" thickTop="1" thickBot="1" x14ac:dyDescent="0.3">
      <c r="A2" s="2" t="s">
        <v>9</v>
      </c>
      <c r="B2" s="3" t="s">
        <v>10</v>
      </c>
      <c r="C2" s="4">
        <v>0.06</v>
      </c>
      <c r="D2" s="3">
        <v>0</v>
      </c>
      <c r="F2" s="34"/>
      <c r="G2" s="7" t="s">
        <v>27</v>
      </c>
      <c r="H2" s="25" t="s">
        <v>28</v>
      </c>
      <c r="I2" s="8" t="s">
        <v>29</v>
      </c>
      <c r="J2" s="9" t="s">
        <v>30</v>
      </c>
      <c r="K2" s="7" t="s">
        <v>32</v>
      </c>
      <c r="L2" s="7" t="s">
        <v>31</v>
      </c>
    </row>
    <row r="3" spans="1:12" ht="16.5" thickTop="1" thickBot="1" x14ac:dyDescent="0.3">
      <c r="A3" s="2" t="s">
        <v>12</v>
      </c>
      <c r="B3" s="3" t="s">
        <v>13</v>
      </c>
      <c r="C3" s="4">
        <v>0.112</v>
      </c>
      <c r="D3" s="5">
        <v>9360</v>
      </c>
      <c r="F3" s="10" t="s">
        <v>9</v>
      </c>
      <c r="G3" s="11">
        <v>0.04</v>
      </c>
      <c r="H3" s="11">
        <v>3.5000000000000003E-2</v>
      </c>
      <c r="I3" s="12">
        <v>0.15429999999999999</v>
      </c>
      <c r="J3" s="11">
        <v>0.434</v>
      </c>
      <c r="K3" s="13">
        <v>0.33500000000000002</v>
      </c>
      <c r="L3" s="13">
        <v>1.6999999999999999E-3</v>
      </c>
    </row>
    <row r="4" spans="1:12" ht="15.75" thickBot="1" x14ac:dyDescent="0.3">
      <c r="A4" s="2" t="s">
        <v>14</v>
      </c>
      <c r="B4" s="3" t="s">
        <v>15</v>
      </c>
      <c r="C4" s="4">
        <v>0.13500000000000001</v>
      </c>
      <c r="D4" s="5">
        <v>17640</v>
      </c>
      <c r="F4" s="14" t="s">
        <v>12</v>
      </c>
      <c r="G4" s="11">
        <v>0.04</v>
      </c>
      <c r="H4" s="11">
        <v>3.5000000000000003E-2</v>
      </c>
      <c r="I4" s="11">
        <v>0.1691</v>
      </c>
      <c r="J4" s="11">
        <v>0.434</v>
      </c>
      <c r="K4" s="15">
        <v>0.32</v>
      </c>
      <c r="L4" s="15">
        <v>1.9E-3</v>
      </c>
    </row>
    <row r="5" spans="1:12" ht="15.75" thickBot="1" x14ac:dyDescent="0.3">
      <c r="A5" s="2" t="s">
        <v>16</v>
      </c>
      <c r="B5" s="3" t="s">
        <v>17</v>
      </c>
      <c r="C5" s="4">
        <v>0.16</v>
      </c>
      <c r="D5" s="5">
        <v>35640</v>
      </c>
      <c r="F5" s="14" t="s">
        <v>14</v>
      </c>
      <c r="G5" s="11">
        <v>0.04</v>
      </c>
      <c r="H5" s="11">
        <v>3.5000000000000003E-2</v>
      </c>
      <c r="I5" s="11">
        <v>0.1641</v>
      </c>
      <c r="J5" s="11">
        <v>0.434</v>
      </c>
      <c r="K5" s="15">
        <v>0.32500000000000001</v>
      </c>
      <c r="L5" s="15">
        <v>1.9E-3</v>
      </c>
    </row>
    <row r="6" spans="1:12" ht="15.75" thickBot="1" x14ac:dyDescent="0.3">
      <c r="A6" s="2" t="s">
        <v>18</v>
      </c>
      <c r="B6" s="3" t="s">
        <v>19</v>
      </c>
      <c r="C6" s="4">
        <v>0.21</v>
      </c>
      <c r="D6" s="5">
        <v>125640</v>
      </c>
      <c r="F6" s="14" t="s">
        <v>16</v>
      </c>
      <c r="G6" s="11">
        <v>0.04</v>
      </c>
      <c r="H6" s="11">
        <v>3.5000000000000003E-2</v>
      </c>
      <c r="I6" s="11">
        <v>0.1641</v>
      </c>
      <c r="J6" s="11">
        <v>0.434</v>
      </c>
      <c r="K6" s="15">
        <v>0.32500000000000001</v>
      </c>
      <c r="L6" s="15">
        <v>1.9E-3</v>
      </c>
    </row>
    <row r="7" spans="1:12" ht="15.75" thickBot="1" x14ac:dyDescent="0.3">
      <c r="A7" s="2" t="s">
        <v>20</v>
      </c>
      <c r="B7" s="3" t="s">
        <v>21</v>
      </c>
      <c r="C7" s="4">
        <v>0.32900000000000001</v>
      </c>
      <c r="D7" s="5">
        <v>648000</v>
      </c>
      <c r="F7" s="14" t="s">
        <v>18</v>
      </c>
      <c r="G7" s="11">
        <v>0.04</v>
      </c>
      <c r="H7" s="11">
        <v>3.5000000000000003E-2</v>
      </c>
      <c r="I7" s="11">
        <v>0.15429999999999999</v>
      </c>
      <c r="J7" s="11">
        <v>0.434</v>
      </c>
      <c r="K7" s="15" t="s">
        <v>33</v>
      </c>
      <c r="L7" s="15">
        <v>1.6999999999999999E-3</v>
      </c>
    </row>
    <row r="8" spans="1:12" x14ac:dyDescent="0.25">
      <c r="F8" s="16" t="s">
        <v>20</v>
      </c>
      <c r="G8" s="17">
        <v>0.35089999999999999</v>
      </c>
      <c r="H8" s="17">
        <v>0.15040000000000001</v>
      </c>
      <c r="I8" s="17">
        <v>0.19289999999999999</v>
      </c>
      <c r="J8" s="17">
        <v>0.30580000000000002</v>
      </c>
      <c r="K8" s="18" t="s">
        <v>11</v>
      </c>
      <c r="L8" s="18" t="s">
        <v>11</v>
      </c>
    </row>
    <row r="9" spans="1:12" ht="60" customHeight="1" x14ac:dyDescent="0.25">
      <c r="F9" s="38" t="s">
        <v>34</v>
      </c>
      <c r="G9" s="38"/>
      <c r="H9" s="38"/>
      <c r="I9" s="38"/>
      <c r="J9" s="38"/>
      <c r="K9" s="38"/>
      <c r="L9" s="38"/>
    </row>
    <row r="10" spans="1:12" ht="77.25" thickBot="1" x14ac:dyDescent="0.3">
      <c r="A10" s="6" t="s">
        <v>22</v>
      </c>
      <c r="B10" s="6" t="s">
        <v>42</v>
      </c>
      <c r="F10" s="14" t="s">
        <v>35</v>
      </c>
      <c r="G10" s="11" t="s">
        <v>36</v>
      </c>
      <c r="H10" s="11" t="s">
        <v>37</v>
      </c>
      <c r="I10" s="11" t="s">
        <v>38</v>
      </c>
      <c r="J10" s="11" t="s">
        <v>39</v>
      </c>
      <c r="K10" s="15" t="s">
        <v>40</v>
      </c>
      <c r="L10" s="15" t="s">
        <v>41</v>
      </c>
    </row>
    <row r="12" spans="1:12" ht="25.5" x14ac:dyDescent="0.25">
      <c r="A12" s="6" t="s">
        <v>23</v>
      </c>
      <c r="B12" s="6" t="s">
        <v>49</v>
      </c>
    </row>
    <row r="14" spans="1:12" x14ac:dyDescent="0.25">
      <c r="A14" s="20" t="s">
        <v>43</v>
      </c>
      <c r="B14" s="19" t="e" cm="1">
        <f t="array" ref="B14">_xlfn.IFS(Detalhes!B6&lt;=180000,(((Detalhes!B6*'Simulação 27-28'!C2)-'Simulação 27-28'!D2)/Detalhes!B6),Detalhes!B6&lt;=360000,(((Detalhes!B6*'Simulação 27-28'!C3)-'Simulação 27-28'!D3)/Detalhes!B6),Detalhes!B6&lt;=720000,(((Detalhes!B6*'Simulação 27-28'!C4)-'Simulação 27-28'!D4)/Detalhes!B6),Detalhes!B6&lt;=1800000,(((Detalhes!B6*'Simulação 27-28'!C5)-'Simulação 27-28'!D5)/Detalhes!B6),Detalhes!B6&lt;=3600000,(((Detalhes!B6*'Simulação 27-28'!C6)-'Simulação 27-28'!D6)/Detalhes!B6),Detalhes!B6&lt;=4800000,(((Detalhes!B6*'Simulação 27-28'!C7)-'Simulação 27-28'!D7)/Detalhes!B6))</f>
        <v>#DIV/0!</v>
      </c>
    </row>
    <row r="15" spans="1:12" x14ac:dyDescent="0.25">
      <c r="A15" s="21" t="s">
        <v>44</v>
      </c>
      <c r="B15" s="22" t="e" cm="1">
        <f t="array" ref="B15">_xlfn.IFS(Detalhes!B6&lt;=180000,'Simulação 27-28'!B14*I3,Detalhes!B6&lt;=360000,'Simulação 27-28'!B14*I4,Detalhes!B6&lt;=720000,'Simulação 27-28'!B14*I5,Detalhes!B6&lt;=1800000,'Simulação 27-28'!B14*I6,Detalhes!B6&lt;=3600000,'Simulação 27-28'!B14*I7,Detalhes!B6&lt;=4800000,'Simulação 27-28'!B14*I8)</f>
        <v>#DIV/0!</v>
      </c>
      <c r="C15" t="s">
        <v>50</v>
      </c>
    </row>
    <row r="16" spans="1:12" x14ac:dyDescent="0.25">
      <c r="A16" s="21" t="s">
        <v>46</v>
      </c>
      <c r="B16" s="23" t="s">
        <v>47</v>
      </c>
      <c r="C16" t="s">
        <v>51</v>
      </c>
    </row>
    <row r="18" spans="1:2" x14ac:dyDescent="0.25">
      <c r="A18" s="29" t="s">
        <v>24</v>
      </c>
      <c r="B18" s="29"/>
    </row>
    <row r="19" spans="1:2" x14ac:dyDescent="0.25">
      <c r="A19" s="29" t="s">
        <v>45</v>
      </c>
      <c r="B19" s="29"/>
    </row>
    <row r="20" spans="1:2" x14ac:dyDescent="0.25">
      <c r="A20" s="30" t="s">
        <v>48</v>
      </c>
      <c r="B20" s="30"/>
    </row>
  </sheetData>
  <sheetProtection algorithmName="SHA-512" hashValue="VYr/Fjo+cBpSSLG6G6bxM8gZNYqufe3M72szk2VNhIOBxHF8NxrReT6G5x3wmF7jCW7ZN1R3ilbNVfypqad6Qw==" saltValue="rqsOXaCniYdAgP9eaOsv2w==" spinCount="100000" sheet="1" objects="1" scenarios="1"/>
  <mergeCells count="7">
    <mergeCell ref="A19:B19"/>
    <mergeCell ref="A20:B20"/>
    <mergeCell ref="A1:B1"/>
    <mergeCell ref="F1:F2"/>
    <mergeCell ref="G1:L1"/>
    <mergeCell ref="F9:L9"/>
    <mergeCell ref="A18:B18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Detalhes</vt:lpstr>
      <vt:lpstr>Simulação 27-28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Otávio Campelo</dc:creator>
  <cp:lastModifiedBy>Otávio Campelo</cp:lastModifiedBy>
  <dcterms:created xsi:type="dcterms:W3CDTF">2026-08-23T18:45:54Z</dcterms:created>
  <dcterms:modified xsi:type="dcterms:W3CDTF">2026-08-28T11:29:23Z</dcterms:modified>
</cp:coreProperties>
</file>